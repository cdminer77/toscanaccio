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otesi" sheetId="1" state="visible" r:id="rId3"/>
    <sheet name="P&amp;L Mensile" sheetId="2" state="visible" r:id="rId4"/>
    <sheet name="Cash Flow" sheetId="3" state="visible" r:id="rId5"/>
    <sheet name="Break Even" sheetId="4" state="visible" r:id="rId6"/>
    <sheet name="Menu &amp; Margin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<sst xmlns="http://schemas.openxmlformats.org/spreadsheetml/2006/main" count="172" uniqueCount="140">
  <si>
    <t xml:space="preserve">🐗 TOSCANACCIO — Piano Finanziario 2024-2025</t>
  </si>
  <si>
    <t xml:space="preserve">Ghost Kitchen · Via Tito Speri 28, Livorno · S.r.l.</t>
  </si>
  <si>
    <t xml:space="preserve">RICAVI – Ipotesi Operative</t>
  </si>
  <si>
    <t xml:space="preserve">Scontrino medio delivery/walk-in (€)</t>
  </si>
  <si>
    <t xml:space="preserve">ℹ Media fascia 12-18€ scelto 15€</t>
  </si>
  <si>
    <t xml:space="preserve">Ordini/giorno – mese 1 (avvio)</t>
  </si>
  <si>
    <t xml:space="preserve">ℹ Ramp-up iniziale</t>
  </si>
  <si>
    <t xml:space="preserve">Ordini/giorno – mese 6 (regime)</t>
  </si>
  <si>
    <t xml:space="preserve">ℹ Target mid 40-60 scelto 50</t>
  </si>
  <si>
    <t xml:space="preserve">Giorni operativi/mese</t>
  </si>
  <si>
    <t xml:space="preserve">ℹ 6 giorni/settimana</t>
  </si>
  <si>
    <t xml:space="preserve">Commissione piattaforme delivery (%)</t>
  </si>
  <si>
    <t xml:space="preserve">ℹ Delivery proprietario → 0%</t>
  </si>
  <si>
    <t xml:space="preserve">COSTI FISSI MENSILI</t>
  </si>
  <si>
    <t xml:space="preserve">  Affitto (€/mese)</t>
  </si>
  <si>
    <t xml:space="preserve">  Utilities (luce/gas/acqua)</t>
  </si>
  <si>
    <t xml:space="preserve">  Connettività + SIM Teltonika</t>
  </si>
  <si>
    <t xml:space="preserve">  Manutenzione hardware/vending</t>
  </si>
  <si>
    <t xml:space="preserve">  Assicurazione RC + locale</t>
  </si>
  <si>
    <t xml:space="preserve">  Contabilità Studio Esposito</t>
  </si>
  <si>
    <t xml:space="preserve">  Abbonamenti software (FastAPI hosting, ecc.)</t>
  </si>
  <si>
    <t xml:space="preserve">  Packaging (Pyrex, kraft, ecc.) – fisso mensile</t>
  </si>
  <si>
    <t xml:space="preserve">TOTALE COSTI FISSI</t>
  </si>
  <si>
    <t xml:space="preserve">COSTI VARIABILI</t>
  </si>
  <si>
    <t xml:space="preserve">  Food cost medio (% su ricavo)</t>
  </si>
  <si>
    <t xml:space="preserve">ℹ Media ponderata menu (14%-38%)</t>
  </si>
  <si>
    <t xml:space="preserve">  Costo rider interno (€/giorno operativo)</t>
  </si>
  <si>
    <t xml:space="preserve">ℹ 1 rider part-time</t>
  </si>
  <si>
    <t xml:space="preserve">  Materiali consumabili extra (€/mese)</t>
  </si>
  <si>
    <t xml:space="preserve">ℹ Guanti, etichette NFC, ecc.</t>
  </si>
  <si>
    <t xml:space="preserve">PERSONALE</t>
  </si>
  <si>
    <t xml:space="preserve">  Titolare – compenso mensile (€)</t>
  </si>
  <si>
    <t xml:space="preserve">  Aiuto cucina – costo mensile lordo (€)</t>
  </si>
  <si>
    <t xml:space="preserve">TOTALE PERSONALE</t>
  </si>
  <si>
    <t xml:space="preserve">INVESTIMENTO INIZIALE &amp; FINANZIAMENTO</t>
  </si>
  <si>
    <t xml:space="preserve">  Capitale investito (€)</t>
  </si>
  <si>
    <t xml:space="preserve">  Quota attrezzature (hardware/vending)</t>
  </si>
  <si>
    <t xml:space="preserve">  Quota allestimento locale</t>
  </si>
  <si>
    <t xml:space="preserve">  Quota scorte iniziali e working capital</t>
  </si>
  <si>
    <t xml:space="preserve">  Quota riserva liquidità</t>
  </si>
  <si>
    <t xml:space="preserve">  Quota ricercata da investitore (€)</t>
  </si>
  <si>
    <t xml:space="preserve">  Equity ceduta (%) – da negoziare</t>
  </si>
  <si>
    <t xml:space="preserve">CONTO ECONOMICO MENSILE — 12 MESI</t>
  </si>
  <si>
    <t xml:space="preserve">Valori in €</t>
  </si>
  <si>
    <t xml:space="preserve">Gen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</si>
  <si>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</si>
  <si>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</si>
  <si>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</si>
  <si>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</si>
  <si>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</si>
  <si>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Lug</t>
  </si>
  <si>
    <t xml:space="preserve">Ago</t>
  </si>
  <si>
    <t xml:space="preserve">Set</t>
  </si>
  <si>
    <t xml:space="preserve">Ott</t>
  </si>
  <si>
    <t xml:space="preserve">Nov</t>
  </si>
  <si>
    <t xml:space="preserve">Dic</t>
  </si>
  <si>
    <t xml:space="preserve">TOTALE</t>
  </si>
  <si>
    <t xml:space="preserve">— DRIVER OPERATIVI —</t>
  </si>
  <si>
    <t xml:space="preserve">Ordini/giorno (interpolati)</t>
  </si>
  <si>
    <t xml:space="preserve">Giorni operativi</t>
  </si>
  <si>
    <t xml:space="preserve">Totale ordini mese</t>
  </si>
  <si>
    <t xml:space="preserve">Ricavo lordo</t>
  </si>
  <si>
    <t xml:space="preserve">  Food cost</t>
  </si>
  <si>
    <t xml:space="preserve">  Costo rider</t>
  </si>
  <si>
    <t xml:space="preserve">  Consumabili</t>
  </si>
  <si>
    <t xml:space="preserve">TOT. Costi Variabili</t>
  </si>
  <si>
    <t xml:space="preserve">COSTI FISSI</t>
  </si>
  <si>
    <t xml:space="preserve">  Personale (titolare + aiuto)</t>
  </si>
  <si>
    <t xml:space="preserve">  Altri costi fissi</t>
  </si>
  <si>
    <t xml:space="preserve">TOT. Costi Fissi</t>
  </si>
  <si>
    <t xml:space="preserve">EBITDA</t>
  </si>
  <si>
    <t xml:space="preserve">Margine EBITDA %</t>
  </si>
  <si>
    <t xml:space="preserve">FLUSSO DI CASSA MENSILE</t>
  </si>
  <si>
    <t xml:space="preserve">Saldo iniziale cassa</t>
  </si>
  <si>
    <t xml:space="preserve">Saldo iniziale</t>
  </si>
  <si>
    <t xml:space="preserve">(+) Incassi delivery/walk-in</t>
  </si>
  <si>
    <t xml:space="preserve">(-) Totale costi (var+fissi)</t>
  </si>
  <si>
    <t xml:space="preserve">ANALISI BREAK-EVEN</t>
  </si>
  <si>
    <t xml:space="preserve">Costi fissi mensili totali</t>
  </si>
  <si>
    <t xml:space="preserve">Scontrino medio netto (€)</t>
  </si>
  <si>
    <t xml:space="preserve">Food cost per ordine (€)</t>
  </si>
  <si>
    <t xml:space="preserve">Costo rider per ordine (€)</t>
  </si>
  <si>
    <t xml:space="preserve">Contribuzione unitaria (€)</t>
  </si>
  <si>
    <t xml:space="preserve">Margine contribuzione %</t>
  </si>
  <si>
    <t xml:space="preserve">Break-even ordini/mese</t>
  </si>
  <si>
    <t xml:space="preserve">Break-even ordini/giorno</t>
  </si>
  <si>
    <t xml:space="preserve">Break-even ricavo mensile (€)</t>
  </si>
  <si>
    <t xml:space="preserve">Ordini/giorno a regime (target)</t>
  </si>
  <si>
    <t xml:space="preserve">Ricavo mensile a regime (€)</t>
  </si>
  <si>
    <t xml:space="preserve">Margine EBITDA mensile a regime (€)</t>
  </si>
  <si>
    <t xml:space="preserve">Mese stimato raggiungimento break-even</t>
  </si>
  <si>
    <t xml:space="preserve">ROI investimento (12 mesi)</t>
  </si>
  <si>
    <t xml:space="preserve">MENU TOSCANACCIO — ANALISI MARGINI</t>
  </si>
  <si>
    <t xml:space="preserve">Codice</t>
  </si>
  <si>
    <t xml:space="preserve">Nome piatto</t>
  </si>
  <si>
    <t xml:space="preserve">Categoria</t>
  </si>
  <si>
    <t xml:space="preserve">Prezzo €</t>
  </si>
  <si>
    <t xml:space="preserve">Food Cost %</t>
  </si>
  <si>
    <t xml:space="preserve">Margine €</t>
  </si>
  <si>
    <t xml:space="preserve">Canali</t>
  </si>
  <si>
    <t xml:space="preserve">Firma</t>
  </si>
  <si>
    <t xml:space="preserve">TOS-001</t>
  </si>
  <si>
    <t xml:space="preserve">Cacciucco alla livornese</t>
  </si>
  <si>
    <t xml:space="preserve">Zuppa di pesce</t>
  </si>
  <si>
    <t xml:space="preserve">walk-in</t>
  </si>
  <si>
    <t xml:space="preserve">⭐</t>
  </si>
  <si>
    <t xml:space="preserve">TOS-002</t>
  </si>
  <si>
    <t xml:space="preserve">Cinghiale in salmì</t>
  </si>
  <si>
    <t xml:space="preserve">Secondo di carne</t>
  </si>
  <si>
    <t xml:space="preserve">walk-in, delivery</t>
  </si>
  <si>
    <t xml:space="preserve">TOS-003</t>
  </si>
  <si>
    <t xml:space="preserve">Peposo dell'Impruneta</t>
  </si>
  <si>
    <t xml:space="preserve">TOS-004</t>
  </si>
  <si>
    <t xml:space="preserve">Lampredotto in umido</t>
  </si>
  <si>
    <t xml:space="preserve">Quinto quarto</t>
  </si>
  <si>
    <t xml:space="preserve">TOS-005</t>
  </si>
  <si>
    <t xml:space="preserve">Ragù di chianina al cucchiaio</t>
  </si>
  <si>
    <t xml:space="preserve">Piatto unico</t>
  </si>
  <si>
    <t xml:space="preserve">TOS-006</t>
  </si>
  <si>
    <t xml:space="preserve">Polpette al sugo della mamma</t>
  </si>
  <si>
    <t xml:space="preserve">walk-in, delivery, vending</t>
  </si>
  <si>
    <t xml:space="preserve">TOS-007</t>
  </si>
  <si>
    <t xml:space="preserve">Ribollita della nonna</t>
  </si>
  <si>
    <t xml:space="preserve">Zuppa</t>
  </si>
  <si>
    <t xml:space="preserve">⭐🌿</t>
  </si>
  <si>
    <t xml:space="preserve">TOS-008</t>
  </si>
  <si>
    <t xml:space="preserve">Fagioli all'uccelletto con salsiccia</t>
  </si>
  <si>
    <t xml:space="preserve">TOS-009</t>
  </si>
  <si>
    <t xml:space="preserve">Zuppa di farro della Garfagnana</t>
  </si>
  <si>
    <t xml:space="preserve">🌿</t>
  </si>
  <si>
    <t xml:space="preserve">TOS-010</t>
  </si>
  <si>
    <t xml:space="preserve">Pappa al pomodoro</t>
  </si>
  <si>
    <t xml:space="preserve">TOS-011</t>
  </si>
  <si>
    <t xml:space="preserve">Cecìna livornese</t>
  </si>
  <si>
    <t xml:space="preserve">Street food</t>
  </si>
  <si>
    <t xml:space="preserve">walk-in, vending</t>
  </si>
  <si>
    <t xml:space="preserve">TOS-012</t>
  </si>
  <si>
    <t xml:space="preserve">Cantucci con Vin Santo</t>
  </si>
  <si>
    <t xml:space="preserve">Dolce</t>
  </si>
  <si>
    <t xml:space="preserve">MEDIA PONDERATA / TOTALE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</si>
</sst>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#,##0"/>
    <numFmt numFmtId="167" formatCode="0.0%"/>
    <numFmt numFmtId="168" formatCode="#,##0&quot; €&quot;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9A60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9A60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BA5C33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BA5C3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5A7B40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5A7B40"/>
        <bgColor rgb="FF339966"/>
      </patternFill>
    </fill>
    <fill>
      <patternFill patternType="solid">
        <fgColor rgb="FF333333"/>
        <bgColor rgb="FF333300"/>
      </patternFill>
    </fill>
    <fill>
      <patternFill patternType="solid">
        <fgColor rgb="FFBA5C33"/>
        <bgColor rgb="FF993300"/>
      </patternFill>
    </fill>
    <fill>
      <patternFill patternType="solid">
        <fgColor rgb="FFEEF5E8"/>
        <bgColor rgb="FFF5F5F0"/>
      </patternFill>
    </fill>
    <fill>
      <patternFill patternType="solid">
        <fgColor rgb="FFE8E8E0"/>
        <bgColor rgb="FFEEF5E8"/>
      </patternFill>
    </fill>
    <fill>
      <patternFill patternType="solid">
        <fgColor rgb="FFD5E8C0"/>
        <bgColor rgb="FFE8E8E0"/>
      </patternFill>
    </fill>
    <fill>
      <patternFill patternType="solid">
        <fgColor rgb="FFFFFFFF"/>
        <bgColor rgb="FFF5F5F0"/>
      </patternFill>
    </fill>
    <fill>
      <patternFill patternType="solid">
        <fgColor rgb="FFF5F5F0"/>
        <bgColor rgb="FFEEF5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3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3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3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7B40"/>
      <rgbColor rgb="FF800080"/>
      <rgbColor rgb="FF008080"/>
      <rgbColor rgb="FFCCCCCC"/>
      <rgbColor rgb="FF888888"/>
      <rgbColor rgb="FF9999FF"/>
      <rgbColor rgb="FFBA5C33"/>
      <rgbColor rgb="FFF5F5F0"/>
      <rgbColor rgb="FFEEF5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0"/>
      <rgbColor rgb="FFD5E8C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60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30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9.5" hidden="false" customHeight="true" outlineLevel="0" collapsed="false">
      <c r="A2" s="3" t="s">
        <v>1</v>
      </c>
      <c r="B2" s="3"/>
      <c r="C2" s="3"/>
    </row>
    <row r="4" customFormat="false" ht="18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15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10</v>
      </c>
      <c r="C6" s="7" t="s">
        <v>6</v>
      </c>
    </row>
    <row r="7" customFormat="false" ht="15" hidden="false" customHeight="true" outlineLevel="0" collapsed="false">
      <c r="A7" s="5" t="s">
        <v>7</v>
      </c>
      <c r="B7" s="8" t="n">
        <v>50</v>
      </c>
      <c r="C7" s="7" t="s">
        <v>8</v>
      </c>
    </row>
    <row r="8" customFormat="false" ht="15" hidden="false" customHeight="true" outlineLevel="0" collapsed="false">
      <c r="A8" s="5" t="s">
        <v>9</v>
      </c>
      <c r="B8" s="8" t="n">
        <v>26</v>
      </c>
      <c r="C8" s="7" t="s">
        <v>10</v>
      </c>
    </row>
    <row r="9" customFormat="false" ht="15" hidden="false" customHeight="true" outlineLevel="0" collapsed="false">
      <c r="A9" s="5" t="s">
        <v>11</v>
      </c>
      <c r="B9" s="9" t="n">
        <v>0</v>
      </c>
      <c r="C9" s="7" t="s">
        <v>12</v>
      </c>
    </row>
    <row r="10" customFormat="false" ht="15" hidden="false" customHeight="true" outlineLevel="0" collapsed="false">
      <c r="A10" s="10"/>
      <c r="B10" s="10"/>
    </row>
    <row r="11" customFormat="false" ht="18" hidden="false" customHeight="true" outlineLevel="0" collapsed="false">
      <c r="A11" s="4" t="s">
        <v>13</v>
      </c>
      <c r="B11" s="4"/>
      <c r="C11" s="4"/>
    </row>
    <row r="12" customFormat="false" ht="15" hidden="false" customHeight="true" outlineLevel="0" collapsed="false">
      <c r="A12" s="5" t="s">
        <v>14</v>
      </c>
      <c r="B12" s="11" t="n">
        <v>450</v>
      </c>
    </row>
    <row r="13" customFormat="false" ht="15" hidden="false" customHeight="true" outlineLevel="0" collapsed="false">
      <c r="A13" s="5" t="s">
        <v>15</v>
      </c>
      <c r="B13" s="11" t="n">
        <v>300</v>
      </c>
    </row>
    <row r="14" customFormat="false" ht="15" hidden="false" customHeight="true" outlineLevel="0" collapsed="false">
      <c r="A14" s="5" t="s">
        <v>16</v>
      </c>
      <c r="B14" s="11" t="n">
        <v>50</v>
      </c>
    </row>
    <row r="15" customFormat="false" ht="15" hidden="false" customHeight="true" outlineLevel="0" collapsed="false">
      <c r="A15" s="5" t="s">
        <v>17</v>
      </c>
      <c r="B15" s="11" t="n">
        <v>80</v>
      </c>
    </row>
    <row r="16" customFormat="false" ht="15" hidden="false" customHeight="true" outlineLevel="0" collapsed="false">
      <c r="A16" s="5" t="s">
        <v>18</v>
      </c>
      <c r="B16" s="11" t="n">
        <v>100</v>
      </c>
    </row>
    <row r="17" customFormat="false" ht="15" hidden="false" customHeight="true" outlineLevel="0" collapsed="false">
      <c r="A17" s="5" t="s">
        <v>19</v>
      </c>
      <c r="B17" s="11" t="n">
        <v>150</v>
      </c>
    </row>
    <row r="18" customFormat="false" ht="15" hidden="false" customHeight="true" outlineLevel="0" collapsed="false">
      <c r="A18" s="5" t="s">
        <v>20</v>
      </c>
      <c r="B18" s="11" t="n">
        <v>60</v>
      </c>
    </row>
    <row r="19" customFormat="false" ht="15" hidden="false" customHeight="true" outlineLevel="0" collapsed="false">
      <c r="A19" s="5" t="s">
        <v>21</v>
      </c>
      <c r="B19" s="11" t="n">
        <v>200</v>
      </c>
    </row>
    <row r="20" customFormat="false" ht="15" hidden="false" customHeight="true" outlineLevel="0" collapsed="false">
      <c r="A20" s="12" t="s">
        <v>22</v>
      </c>
      <c r="B20" s="13" t="n">
        <f aca="false">SUM(B12:B19)</f>
        <v>1390</v>
      </c>
    </row>
    <row r="21" customFormat="false" ht="15" hidden="false" customHeight="true" outlineLevel="0" collapsed="false">
      <c r="A21" s="10"/>
      <c r="B21" s="10"/>
    </row>
    <row r="22" customFormat="false" ht="18" hidden="false" customHeight="true" outlineLevel="0" collapsed="false">
      <c r="A22" s="4" t="s">
        <v>23</v>
      </c>
      <c r="B22" s="4"/>
      <c r="C22" s="4"/>
    </row>
    <row r="23" customFormat="false" ht="15" hidden="false" customHeight="true" outlineLevel="0" collapsed="false">
      <c r="A23" s="5" t="s">
        <v>24</v>
      </c>
      <c r="B23" s="9" t="n">
        <v>0.27</v>
      </c>
      <c r="C23" s="7" t="s">
        <v>25</v>
      </c>
    </row>
    <row r="24" customFormat="false" ht="15" hidden="false" customHeight="true" outlineLevel="0" collapsed="false">
      <c r="A24" s="5" t="s">
        <v>26</v>
      </c>
      <c r="B24" s="11" t="n">
        <v>50</v>
      </c>
      <c r="C24" s="7" t="s">
        <v>27</v>
      </c>
    </row>
    <row r="25" customFormat="false" ht="15" hidden="false" customHeight="true" outlineLevel="0" collapsed="false">
      <c r="A25" s="5" t="s">
        <v>28</v>
      </c>
      <c r="B25" s="11" t="n">
        <v>100</v>
      </c>
      <c r="C25" s="7" t="s">
        <v>29</v>
      </c>
    </row>
    <row r="26" customFormat="false" ht="15" hidden="false" customHeight="true" outlineLevel="0" collapsed="false">
      <c r="A26" s="10"/>
      <c r="B26" s="10"/>
    </row>
    <row r="27" customFormat="false" ht="18" hidden="false" customHeight="true" outlineLevel="0" collapsed="false">
      <c r="A27" s="4" t="s">
        <v>30</v>
      </c>
      <c r="B27" s="4"/>
      <c r="C27" s="4"/>
    </row>
    <row r="28" customFormat="false" ht="15" hidden="false" customHeight="true" outlineLevel="0" collapsed="false">
      <c r="A28" s="5" t="s">
        <v>31</v>
      </c>
      <c r="B28" s="11" t="n">
        <v>1500</v>
      </c>
    </row>
    <row r="29" customFormat="false" ht="15" hidden="false" customHeight="true" outlineLevel="0" collapsed="false">
      <c r="A29" s="5" t="s">
        <v>32</v>
      </c>
      <c r="B29" s="11" t="n">
        <v>1200</v>
      </c>
    </row>
    <row r="30" customFormat="false" ht="15" hidden="false" customHeight="true" outlineLevel="0" collapsed="false">
      <c r="A30" s="12" t="s">
        <v>33</v>
      </c>
      <c r="B30" s="13" t="n">
        <f aca="false">SUM(B28:B29)</f>
        <v>2700</v>
      </c>
    </row>
    <row r="31" customFormat="false" ht="15" hidden="false" customHeight="true" outlineLevel="0" collapsed="false">
      <c r="A31" s="10"/>
      <c r="B31" s="10"/>
    </row>
    <row r="32" customFormat="false" ht="18" hidden="false" customHeight="true" outlineLevel="0" collapsed="false">
      <c r="A32" s="4" t="s">
        <v>34</v>
      </c>
      <c r="B32" s="4"/>
      <c r="C32" s="4"/>
    </row>
    <row r="33" customFormat="false" ht="15" hidden="false" customHeight="true" outlineLevel="0" collapsed="false">
      <c r="A33" s="5" t="s">
        <v>35</v>
      </c>
      <c r="B33" s="11" t="n">
        <v>45000</v>
      </c>
    </row>
    <row r="34" customFormat="false" ht="15" hidden="false" customHeight="true" outlineLevel="0" collapsed="false">
      <c r="A34" s="5" t="s">
        <v>36</v>
      </c>
      <c r="B34" s="11" t="n">
        <v>28000</v>
      </c>
    </row>
    <row r="35" customFormat="false" ht="15" hidden="false" customHeight="true" outlineLevel="0" collapsed="false">
      <c r="A35" s="5" t="s">
        <v>37</v>
      </c>
      <c r="B35" s="11" t="n">
        <v>8000</v>
      </c>
    </row>
    <row r="36" customFormat="false" ht="15" hidden="false" customHeight="true" outlineLevel="0" collapsed="false">
      <c r="A36" s="5" t="s">
        <v>38</v>
      </c>
      <c r="B36" s="11" t="n">
        <v>5000</v>
      </c>
    </row>
    <row r="37" customFormat="false" ht="15" hidden="false" customHeight="true" outlineLevel="0" collapsed="false">
      <c r="A37" s="5" t="s">
        <v>39</v>
      </c>
      <c r="B37" s="11" t="n">
        <v>4000</v>
      </c>
    </row>
    <row r="38" customFormat="false" ht="15" hidden="false" customHeight="true" outlineLevel="0" collapsed="false">
      <c r="A38" s="5" t="s">
        <v>40</v>
      </c>
      <c r="B38" s="11" t="n">
        <v>25000</v>
      </c>
    </row>
    <row r="39" customFormat="false" ht="15" hidden="false" customHeight="true" outlineLevel="0" collapsed="false">
      <c r="A39" s="5" t="s">
        <v>41</v>
      </c>
      <c r="B39" s="9" t="n">
        <v>0.2</v>
      </c>
    </row>
  </sheetData>
  <mergeCells count="7">
    <mergeCell ref="A1:C1"/>
    <mergeCell ref="A2:C2"/>
    <mergeCell ref="A4:C4"/>
    <mergeCell ref="A11:C11"/>
    <mergeCell ref="A22:C22"/>
    <mergeCell ref="A27:C27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4" min="2" style="1" width="10"/>
  </cols>
  <sheetData>
    <row r="1" customFormat="false" ht="27.75" hidden="false" customHeight="true" outlineLevel="0" collapsed="false">
      <c r="A1" s="14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5" hidden="false" customHeight="true" outlineLevel="0" collapsed="false">
      <c r="A2" s="15" t="s">
        <v>43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18" hidden="false" customHeight="true" outlineLevel="0" collapsed="false">
      <c r="A3" s="10"/>
      <c r="B3" s="16" t="s">
        <v>44</v>
      </c>
      <c r="C3" s="16" t="s">
        <v>45</v>
      </c>
      <c r="D3" s="16" t="s">
        <v>46</v>
      </c>
      <c r="E3" s="16" t="s">
        <v>47</v>
      </c>
      <c r="F3" s="16" t="s">
        <v>48</v>
      </c>
      <c r="G3" s="16" t="s">
        <v>49</v>
      </c>
      <c r="H3" s="16" t="s">
        <v>50</v>
      </c>
      <c r="I3" s="16" t="s">
        <v>51</v>
      </c>
      <c r="J3" s="16" t="s">
        <v>52</v>
      </c>
      <c r="K3" s="16" t="s">
        <v>53</v>
      </c>
      <c r="L3" s="16" t="s">
        <v>54</v>
      </c>
      <c r="M3" s="16" t="s">
        <v>55</v>
      </c>
      <c r="N3" s="17" t="s">
        <v>56</v>
      </c>
    </row>
    <row r="4" customFormat="false" ht="15" hidden="false" customHeight="true" outlineLevel="0" collapsed="false">
      <c r="A4" s="18" t="s">
        <v>57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customFormat="false" ht="15" hidden="false" customHeight="true" outlineLevel="0" collapsed="false">
      <c r="A5" s="5" t="s">
        <v>58</v>
      </c>
      <c r="B5" s="19" t="n">
        <v>10</v>
      </c>
      <c r="C5" s="19" t="n">
        <v>18</v>
      </c>
      <c r="D5" s="19" t="n">
        <v>26</v>
      </c>
      <c r="E5" s="19" t="n">
        <v>34</v>
      </c>
      <c r="F5" s="19" t="n">
        <v>42</v>
      </c>
      <c r="G5" s="19" t="n">
        <v>50</v>
      </c>
      <c r="H5" s="19" t="n">
        <v>50</v>
      </c>
      <c r="I5" s="19" t="n">
        <v>50</v>
      </c>
      <c r="J5" s="19" t="n">
        <v>50</v>
      </c>
      <c r="K5" s="19" t="n">
        <v>50</v>
      </c>
      <c r="L5" s="19" t="n">
        <v>50</v>
      </c>
      <c r="M5" s="19" t="n">
        <v>50</v>
      </c>
      <c r="N5" s="10"/>
    </row>
    <row r="6" customFormat="false" ht="15" hidden="false" customHeight="true" outlineLevel="0" collapsed="false">
      <c r="A6" s="5" t="s">
        <v>59</v>
      </c>
      <c r="B6" s="20" t="n">
        <f aca="false">Ipotesi!$B$8</f>
        <v>26</v>
      </c>
      <c r="C6" s="20" t="n">
        <f aca="false">Ipotesi!$B$8</f>
        <v>26</v>
      </c>
      <c r="D6" s="20" t="n">
        <f aca="false">Ipotesi!$B$8</f>
        <v>26</v>
      </c>
      <c r="E6" s="20" t="n">
        <f aca="false">Ipotesi!$B$8</f>
        <v>26</v>
      </c>
      <c r="F6" s="20" t="n">
        <f aca="false">Ipotesi!$B$8</f>
        <v>26</v>
      </c>
      <c r="G6" s="20" t="n">
        <f aca="false">Ipotesi!$B$8</f>
        <v>26</v>
      </c>
      <c r="H6" s="20" t="n">
        <f aca="false">Ipotesi!$B$8</f>
        <v>26</v>
      </c>
      <c r="I6" s="20" t="n">
        <f aca="false">Ipotesi!$B$8</f>
        <v>26</v>
      </c>
      <c r="J6" s="20" t="n">
        <f aca="false">Ipotesi!$B$8</f>
        <v>26</v>
      </c>
      <c r="K6" s="20" t="n">
        <f aca="false">Ipotesi!$B$8</f>
        <v>26</v>
      </c>
      <c r="L6" s="20" t="n">
        <f aca="false">Ipotesi!$B$8</f>
        <v>26</v>
      </c>
      <c r="M6" s="20" t="n">
        <f aca="false">Ipotesi!$B$8</f>
        <v>26</v>
      </c>
      <c r="N6" s="10"/>
    </row>
    <row r="7" customFormat="false" ht="15" hidden="false" customHeight="true" outlineLevel="0" collapsed="false">
      <c r="A7" s="5" t="s">
        <v>60</v>
      </c>
      <c r="B7" s="21" t="n">
        <f aca="false">B5*B6</f>
        <v>260</v>
      </c>
      <c r="C7" s="21" t="n">
        <f aca="false">C5*C6</f>
        <v>468</v>
      </c>
      <c r="D7" s="21" t="n">
        <f aca="false">D5*D6</f>
        <v>676</v>
      </c>
      <c r="E7" s="21" t="n">
        <f aca="false">E5*E6</f>
        <v>884</v>
      </c>
      <c r="F7" s="21" t="n">
        <f aca="false">F5*F6</f>
        <v>1092</v>
      </c>
      <c r="G7" s="21" t="n">
        <f aca="false">G5*G6</f>
        <v>1300</v>
      </c>
      <c r="H7" s="21" t="n">
        <f aca="false">H5*H6</f>
        <v>1300</v>
      </c>
      <c r="I7" s="21" t="n">
        <f aca="false">I5*I6</f>
        <v>1300</v>
      </c>
      <c r="J7" s="21" t="n">
        <f aca="false">J5*J6</f>
        <v>1300</v>
      </c>
      <c r="K7" s="21" t="n">
        <f aca="false">K5*K6</f>
        <v>1300</v>
      </c>
      <c r="L7" s="21" t="n">
        <f aca="false">L5*L6</f>
        <v>1300</v>
      </c>
      <c r="M7" s="21" t="n">
        <f aca="false">M5*M6</f>
        <v>1300</v>
      </c>
      <c r="N7" s="22" t="n">
        <f aca="false">SUM(B7:M7)</f>
        <v>12480</v>
      </c>
    </row>
    <row r="8" customFormat="false" ht="15" hidden="false" customHeight="true" outlineLevel="0" collapsed="false">
      <c r="A8" s="5" t="s">
        <v>61</v>
      </c>
      <c r="B8" s="23" t="n">
        <f aca="false">B7*Ipotesi!$B$5</f>
        <v>3900</v>
      </c>
      <c r="C8" s="23" t="n">
        <f aca="false">C7*Ipotesi!$B$5</f>
        <v>7020</v>
      </c>
      <c r="D8" s="23" t="n">
        <f aca="false">D7*Ipotesi!$B$5</f>
        <v>10140</v>
      </c>
      <c r="E8" s="23" t="n">
        <f aca="false">E7*Ipotesi!$B$5</f>
        <v>13260</v>
      </c>
      <c r="F8" s="23" t="n">
        <f aca="false">F7*Ipotesi!$B$5</f>
        <v>16380</v>
      </c>
      <c r="G8" s="23" t="n">
        <f aca="false">G7*Ipotesi!$B$5</f>
        <v>19500</v>
      </c>
      <c r="H8" s="23" t="n">
        <f aca="false">H7*Ipotesi!$B$5</f>
        <v>19500</v>
      </c>
      <c r="I8" s="23" t="n">
        <f aca="false">I7*Ipotesi!$B$5</f>
        <v>19500</v>
      </c>
      <c r="J8" s="23" t="n">
        <f aca="false">J7*Ipotesi!$B$5</f>
        <v>19500</v>
      </c>
      <c r="K8" s="23" t="n">
        <f aca="false">K7*Ipotesi!$B$5</f>
        <v>19500</v>
      </c>
      <c r="L8" s="23" t="n">
        <f aca="false">L7*Ipotesi!$B$5</f>
        <v>19500</v>
      </c>
      <c r="M8" s="23" t="n">
        <f aca="false">M7*Ipotesi!$B$5</f>
        <v>19500</v>
      </c>
      <c r="N8" s="24" t="n">
        <f aca="false">SUM(B8:M8)</f>
        <v>187200</v>
      </c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customFormat="false" ht="15" hidden="false" customHeight="true" outlineLevel="0" collapsed="false">
      <c r="A10" s="25" t="s">
        <v>23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customFormat="false" ht="15" hidden="false" customHeight="true" outlineLevel="0" collapsed="false">
      <c r="A11" s="5" t="s">
        <v>62</v>
      </c>
      <c r="B11" s="26" t="n">
        <f aca="false">B8*Ipotesi!$B$23</f>
        <v>1053</v>
      </c>
      <c r="C11" s="26" t="n">
        <f aca="false">C8*Ipotesi!$B$23</f>
        <v>1895.4</v>
      </c>
      <c r="D11" s="26" t="n">
        <f aca="false">D8*Ipotesi!$B$23</f>
        <v>2737.8</v>
      </c>
      <c r="E11" s="26" t="n">
        <f aca="false">E8*Ipotesi!$B$23</f>
        <v>3580.2</v>
      </c>
      <c r="F11" s="26" t="n">
        <f aca="false">F8*Ipotesi!$B$23</f>
        <v>4422.6</v>
      </c>
      <c r="G11" s="26" t="n">
        <f aca="false">G8*Ipotesi!$B$23</f>
        <v>5265</v>
      </c>
      <c r="H11" s="26" t="n">
        <f aca="false">H8*Ipotesi!$B$23</f>
        <v>5265</v>
      </c>
      <c r="I11" s="26" t="n">
        <f aca="false">I8*Ipotesi!$B$23</f>
        <v>5265</v>
      </c>
      <c r="J11" s="26" t="n">
        <f aca="false">J8*Ipotesi!$B$23</f>
        <v>5265</v>
      </c>
      <c r="K11" s="26" t="n">
        <f aca="false">K8*Ipotesi!$B$23</f>
        <v>5265</v>
      </c>
      <c r="L11" s="26" t="n">
        <f aca="false">L8*Ipotesi!$B$23</f>
        <v>5265</v>
      </c>
      <c r="M11" s="26" t="n">
        <f aca="false">M8*Ipotesi!$B$23</f>
        <v>5265</v>
      </c>
      <c r="N11" s="27" t="n">
        <f aca="false">SUM(B11:M11)</f>
        <v>50544</v>
      </c>
    </row>
    <row r="12" customFormat="false" ht="15" hidden="false" customHeight="true" outlineLevel="0" collapsed="false">
      <c r="A12" s="5" t="s">
        <v>63</v>
      </c>
      <c r="B12" s="26" t="n">
        <f aca="false">Ipotesi!$B$24*Ipotesi!$B$8</f>
        <v>1300</v>
      </c>
      <c r="C12" s="26" t="n">
        <f aca="false">Ipotesi!$B$24*Ipotesi!$B$8</f>
        <v>1300</v>
      </c>
      <c r="D12" s="26" t="n">
        <f aca="false">Ipotesi!$B$24*Ipotesi!$B$8</f>
        <v>1300</v>
      </c>
      <c r="E12" s="26" t="n">
        <f aca="false">Ipotesi!$B$24*Ipotesi!$B$8</f>
        <v>1300</v>
      </c>
      <c r="F12" s="26" t="n">
        <f aca="false">Ipotesi!$B$24*Ipotesi!$B$8</f>
        <v>1300</v>
      </c>
      <c r="G12" s="26" t="n">
        <f aca="false">Ipotesi!$B$24*Ipotesi!$B$8</f>
        <v>1300</v>
      </c>
      <c r="H12" s="26" t="n">
        <f aca="false">Ipotesi!$B$24*Ipotesi!$B$8</f>
        <v>1300</v>
      </c>
      <c r="I12" s="26" t="n">
        <f aca="false">Ipotesi!$B$24*Ipotesi!$B$8</f>
        <v>1300</v>
      </c>
      <c r="J12" s="26" t="n">
        <f aca="false">Ipotesi!$B$24*Ipotesi!$B$8</f>
        <v>1300</v>
      </c>
      <c r="K12" s="26" t="n">
        <f aca="false">Ipotesi!$B$24*Ipotesi!$B$8</f>
        <v>1300</v>
      </c>
      <c r="L12" s="26" t="n">
        <f aca="false">Ipotesi!$B$24*Ipotesi!$B$8</f>
        <v>1300</v>
      </c>
      <c r="M12" s="26" t="n">
        <f aca="false">Ipotesi!$B$24*Ipotesi!$B$8</f>
        <v>1300</v>
      </c>
      <c r="N12" s="27" t="n">
        <f aca="false">SUM(B12:M12)</f>
        <v>15600</v>
      </c>
    </row>
    <row r="13" customFormat="false" ht="15" hidden="false" customHeight="true" outlineLevel="0" collapsed="false">
      <c r="A13" s="5" t="s">
        <v>64</v>
      </c>
      <c r="B13" s="26" t="n">
        <f aca="false">Ipotesi!$B$25</f>
        <v>100</v>
      </c>
      <c r="C13" s="26" t="n">
        <f aca="false">Ipotesi!$B$25</f>
        <v>100</v>
      </c>
      <c r="D13" s="26" t="n">
        <f aca="false">Ipotesi!$B$25</f>
        <v>100</v>
      </c>
      <c r="E13" s="26" t="n">
        <f aca="false">Ipotesi!$B$25</f>
        <v>100</v>
      </c>
      <c r="F13" s="26" t="n">
        <f aca="false">Ipotesi!$B$25</f>
        <v>100</v>
      </c>
      <c r="G13" s="26" t="n">
        <f aca="false">Ipotesi!$B$25</f>
        <v>100</v>
      </c>
      <c r="H13" s="26" t="n">
        <f aca="false">Ipotesi!$B$25</f>
        <v>100</v>
      </c>
      <c r="I13" s="26" t="n">
        <f aca="false">Ipotesi!$B$25</f>
        <v>100</v>
      </c>
      <c r="J13" s="26" t="n">
        <f aca="false">Ipotesi!$B$25</f>
        <v>100</v>
      </c>
      <c r="K13" s="26" t="n">
        <f aca="false">Ipotesi!$B$25</f>
        <v>100</v>
      </c>
      <c r="L13" s="26" t="n">
        <f aca="false">Ipotesi!$B$25</f>
        <v>100</v>
      </c>
      <c r="M13" s="26" t="n">
        <f aca="false">Ipotesi!$B$25</f>
        <v>100</v>
      </c>
      <c r="N13" s="27" t="n">
        <f aca="false">SUM(B13:M13)</f>
        <v>1200</v>
      </c>
    </row>
    <row r="14" customFormat="false" ht="15" hidden="false" customHeight="true" outlineLevel="0" collapsed="false">
      <c r="A14" s="12" t="s">
        <v>65</v>
      </c>
      <c r="B14" s="28" t="n">
        <f aca="false">SUM(B11:B13)</f>
        <v>2453</v>
      </c>
      <c r="C14" s="28" t="n">
        <f aca="false">SUM(C11:C13)</f>
        <v>3295.4</v>
      </c>
      <c r="D14" s="28" t="n">
        <f aca="false">SUM(D11:D13)</f>
        <v>4137.8</v>
      </c>
      <c r="E14" s="28" t="n">
        <f aca="false">SUM(E11:E13)</f>
        <v>4980.2</v>
      </c>
      <c r="F14" s="28" t="n">
        <f aca="false">SUM(F11:F13)</f>
        <v>5822.6</v>
      </c>
      <c r="G14" s="28" t="n">
        <f aca="false">SUM(G11:G13)</f>
        <v>6665</v>
      </c>
      <c r="H14" s="28" t="n">
        <f aca="false">SUM(H11:H13)</f>
        <v>6665</v>
      </c>
      <c r="I14" s="28" t="n">
        <f aca="false">SUM(I11:I13)</f>
        <v>6665</v>
      </c>
      <c r="J14" s="28" t="n">
        <f aca="false">SUM(J11:J13)</f>
        <v>6665</v>
      </c>
      <c r="K14" s="28" t="n">
        <f aca="false">SUM(K11:K13)</f>
        <v>6665</v>
      </c>
      <c r="L14" s="28" t="n">
        <f aca="false">SUM(L11:L13)</f>
        <v>6665</v>
      </c>
      <c r="M14" s="28" t="n">
        <f aca="false">SUM(M11:M13)</f>
        <v>6665</v>
      </c>
      <c r="N14" s="28" t="n">
        <f aca="false">SUM(N11:N13)</f>
        <v>67344</v>
      </c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customFormat="false" ht="15" hidden="false" customHeight="true" outlineLevel="0" collapsed="false">
      <c r="A16" s="25" t="s">
        <v>66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customFormat="false" ht="15" hidden="false" customHeight="true" outlineLevel="0" collapsed="false">
      <c r="A17" s="5" t="s">
        <v>67</v>
      </c>
      <c r="B17" s="26" t="n">
        <f aca="false">Ipotesi!$B$30</f>
        <v>2700</v>
      </c>
      <c r="C17" s="26" t="n">
        <f aca="false">Ipotesi!$B$30</f>
        <v>2700</v>
      </c>
      <c r="D17" s="26" t="n">
        <f aca="false">Ipotesi!$B$30</f>
        <v>2700</v>
      </c>
      <c r="E17" s="26" t="n">
        <f aca="false">Ipotesi!$B$30</f>
        <v>2700</v>
      </c>
      <c r="F17" s="26" t="n">
        <f aca="false">Ipotesi!$B$30</f>
        <v>2700</v>
      </c>
      <c r="G17" s="26" t="n">
        <f aca="false">Ipotesi!$B$30</f>
        <v>2700</v>
      </c>
      <c r="H17" s="26" t="n">
        <f aca="false">Ipotesi!$B$30</f>
        <v>2700</v>
      </c>
      <c r="I17" s="26" t="n">
        <f aca="false">Ipotesi!$B$30</f>
        <v>2700</v>
      </c>
      <c r="J17" s="26" t="n">
        <f aca="false">Ipotesi!$B$30</f>
        <v>2700</v>
      </c>
      <c r="K17" s="26" t="n">
        <f aca="false">Ipotesi!$B$30</f>
        <v>2700</v>
      </c>
      <c r="L17" s="26" t="n">
        <f aca="false">Ipotesi!$B$30</f>
        <v>2700</v>
      </c>
      <c r="M17" s="26" t="n">
        <f aca="false">Ipotesi!$B$30</f>
        <v>2700</v>
      </c>
      <c r="N17" s="27" t="n">
        <f aca="false">SUM(B17:M17)</f>
        <v>32400</v>
      </c>
    </row>
    <row r="18" customFormat="false" ht="15" hidden="false" customHeight="true" outlineLevel="0" collapsed="false">
      <c r="A18" s="5" t="s">
        <v>68</v>
      </c>
      <c r="B18" s="26" t="n">
        <f aca="false">Ipotesi!$B$20</f>
        <v>1390</v>
      </c>
      <c r="C18" s="26" t="n">
        <f aca="false">Ipotesi!$B$20</f>
        <v>1390</v>
      </c>
      <c r="D18" s="26" t="n">
        <f aca="false">Ipotesi!$B$20</f>
        <v>1390</v>
      </c>
      <c r="E18" s="26" t="n">
        <f aca="false">Ipotesi!$B$20</f>
        <v>1390</v>
      </c>
      <c r="F18" s="26" t="n">
        <f aca="false">Ipotesi!$B$20</f>
        <v>1390</v>
      </c>
      <c r="G18" s="26" t="n">
        <f aca="false">Ipotesi!$B$20</f>
        <v>1390</v>
      </c>
      <c r="H18" s="26" t="n">
        <f aca="false">Ipotesi!$B$20</f>
        <v>1390</v>
      </c>
      <c r="I18" s="26" t="n">
        <f aca="false">Ipotesi!$B$20</f>
        <v>1390</v>
      </c>
      <c r="J18" s="26" t="n">
        <f aca="false">Ipotesi!$B$20</f>
        <v>1390</v>
      </c>
      <c r="K18" s="26" t="n">
        <f aca="false">Ipotesi!$B$20</f>
        <v>1390</v>
      </c>
      <c r="L18" s="26" t="n">
        <f aca="false">Ipotesi!$B$20</f>
        <v>1390</v>
      </c>
      <c r="M18" s="26" t="n">
        <f aca="false">Ipotesi!$B$20</f>
        <v>1390</v>
      </c>
      <c r="N18" s="27" t="n">
        <f aca="false">SUM(B18:M18)</f>
        <v>16680</v>
      </c>
    </row>
    <row r="19" customFormat="false" ht="15" hidden="false" customHeight="true" outlineLevel="0" collapsed="false">
      <c r="A19" s="12" t="s">
        <v>69</v>
      </c>
      <c r="B19" s="28" t="n">
        <f aca="false">SUM(B17:B18)</f>
        <v>4090</v>
      </c>
      <c r="C19" s="28" t="n">
        <f aca="false">SUM(C17:C18)</f>
        <v>4090</v>
      </c>
      <c r="D19" s="28" t="n">
        <f aca="false">SUM(D17:D18)</f>
        <v>4090</v>
      </c>
      <c r="E19" s="28" t="n">
        <f aca="false">SUM(E17:E18)</f>
        <v>4090</v>
      </c>
      <c r="F19" s="28" t="n">
        <f aca="false">SUM(F17:F18)</f>
        <v>4090</v>
      </c>
      <c r="G19" s="28" t="n">
        <f aca="false">SUM(G17:G18)</f>
        <v>4090</v>
      </c>
      <c r="H19" s="28" t="n">
        <f aca="false">SUM(H17:H18)</f>
        <v>4090</v>
      </c>
      <c r="I19" s="28" t="n">
        <f aca="false">SUM(I17:I18)</f>
        <v>4090</v>
      </c>
      <c r="J19" s="28" t="n">
        <f aca="false">SUM(J17:J18)</f>
        <v>4090</v>
      </c>
      <c r="K19" s="28" t="n">
        <f aca="false">SUM(K17:K18)</f>
        <v>4090</v>
      </c>
      <c r="L19" s="28" t="n">
        <f aca="false">SUM(L17:L18)</f>
        <v>4090</v>
      </c>
      <c r="M19" s="28" t="n">
        <f aca="false">SUM(M17:M18)</f>
        <v>4090</v>
      </c>
      <c r="N19" s="28" t="n">
        <f aca="false">SUM(N17:N18)</f>
        <v>49080</v>
      </c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5" hidden="false" customHeight="true" outlineLevel="0" collapsed="false">
      <c r="A21" s="29" t="s">
        <v>70</v>
      </c>
      <c r="B21" s="30" t="n">
        <f aca="false">B8-B14-B19</f>
        <v>-2643</v>
      </c>
      <c r="C21" s="30" t="n">
        <f aca="false">C8-C14-C19</f>
        <v>-365.4</v>
      </c>
      <c r="D21" s="30" t="n">
        <f aca="false">D8-D14-D19</f>
        <v>1912.2</v>
      </c>
      <c r="E21" s="30" t="n">
        <f aca="false">E8-E14-E19</f>
        <v>4189.8</v>
      </c>
      <c r="F21" s="30" t="n">
        <f aca="false">F8-F14-F19</f>
        <v>6467.4</v>
      </c>
      <c r="G21" s="30" t="n">
        <f aca="false">G8-G14-G19</f>
        <v>8745</v>
      </c>
      <c r="H21" s="30" t="n">
        <f aca="false">H8-H14-H19</f>
        <v>8745</v>
      </c>
      <c r="I21" s="30" t="n">
        <f aca="false">I8-I14-I19</f>
        <v>8745</v>
      </c>
      <c r="J21" s="30" t="n">
        <f aca="false">J8-J14-J19</f>
        <v>8745</v>
      </c>
      <c r="K21" s="30" t="n">
        <f aca="false">K8-K14-K19</f>
        <v>8745</v>
      </c>
      <c r="L21" s="30" t="n">
        <f aca="false">L8-L14-L19</f>
        <v>8745</v>
      </c>
      <c r="M21" s="30" t="n">
        <f aca="false">M8-M14-M19</f>
        <v>8745</v>
      </c>
      <c r="N21" s="30" t="n">
        <f aca="false">N8-N14-N19</f>
        <v>70776</v>
      </c>
    </row>
    <row r="22" customFormat="false" ht="15" hidden="false" customHeight="true" outlineLevel="0" collapsed="false">
      <c r="A22" s="5" t="s">
        <v>71</v>
      </c>
      <c r="B22" s="31" t="n">
        <f aca="false">IF(B8&gt;0,B21/B8,0)</f>
        <v>-0.677692307692308</v>
      </c>
      <c r="C22" s="31" t="n">
        <f aca="false">IF(C8&gt;0,C21/C8,0)</f>
        <v>-0.0520512820512821</v>
      </c>
      <c r="D22" s="31" t="n">
        <f aca="false">IF(D8&gt;0,D21/D8,0)</f>
        <v>0.188579881656805</v>
      </c>
      <c r="E22" s="31" t="n">
        <f aca="false">IF(E8&gt;0,E21/E8,0)</f>
        <v>0.315972850678733</v>
      </c>
      <c r="F22" s="31" t="n">
        <f aca="false">IF(F8&gt;0,F21/F8,0)</f>
        <v>0.394835164835165</v>
      </c>
      <c r="G22" s="31" t="n">
        <f aca="false">IF(G8&gt;0,G21/G8,0)</f>
        <v>0.448461538461538</v>
      </c>
      <c r="H22" s="31" t="n">
        <f aca="false">IF(H8&gt;0,H21/H8,0)</f>
        <v>0.448461538461538</v>
      </c>
      <c r="I22" s="31" t="n">
        <f aca="false">IF(I8&gt;0,I21/I8,0)</f>
        <v>0.448461538461538</v>
      </c>
      <c r="J22" s="31" t="n">
        <f aca="false">IF(J8&gt;0,J21/J8,0)</f>
        <v>0.448461538461538</v>
      </c>
      <c r="K22" s="31" t="n">
        <f aca="false">IF(K8&gt;0,K21/K8,0)</f>
        <v>0.448461538461538</v>
      </c>
      <c r="L22" s="31" t="n">
        <f aca="false">IF(L8&gt;0,L21/L8,0)</f>
        <v>0.448461538461538</v>
      </c>
      <c r="M22" s="31" t="n">
        <f aca="false">IF(M8&gt;0,M21/M8,0)</f>
        <v>0.448461538461538</v>
      </c>
      <c r="N22" s="31" t="n">
        <f aca="false">IF(N8&gt;0,N21/N8,0)</f>
        <v>0.378076923076923</v>
      </c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4" min="2" style="1" width="10"/>
  </cols>
  <sheetData>
    <row r="1" customFormat="false" ht="27.75" hidden="false" customHeight="true" outlineLevel="0" collapsed="false">
      <c r="A1" s="14" t="s">
        <v>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5" hidden="false" customHeight="true" outlineLevel="0" collapsed="false">
      <c r="A2" s="10"/>
      <c r="B2" s="16" t="s">
        <v>44</v>
      </c>
      <c r="C2" s="16" t="s">
        <v>45</v>
      </c>
      <c r="D2" s="16" t="s">
        <v>46</v>
      </c>
      <c r="E2" s="16" t="s">
        <v>47</v>
      </c>
      <c r="F2" s="16" t="s">
        <v>48</v>
      </c>
      <c r="G2" s="16" t="s">
        <v>49</v>
      </c>
      <c r="H2" s="16" t="s">
        <v>50</v>
      </c>
      <c r="I2" s="16" t="s">
        <v>51</v>
      </c>
      <c r="J2" s="16" t="s">
        <v>52</v>
      </c>
      <c r="K2" s="16" t="s">
        <v>53</v>
      </c>
      <c r="L2" s="16" t="s">
        <v>54</v>
      </c>
      <c r="M2" s="16" t="s">
        <v>55</v>
      </c>
      <c r="N2" s="17" t="s">
        <v>56</v>
      </c>
    </row>
    <row r="3" customFormat="false" ht="15" hidden="false" customHeight="true" outlineLevel="0" collapsed="false">
      <c r="A3" s="5" t="s">
        <v>73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customFormat="false" ht="15" hidden="false" customHeight="true" outlineLevel="0" collapsed="false">
      <c r="A4" s="5" t="s">
        <v>74</v>
      </c>
      <c r="B4" s="32" t="n">
        <f aca="false">Ipotesi!$B$37</f>
        <v>4000</v>
      </c>
      <c r="C4" s="26" t="n">
        <f aca="false">B7</f>
        <v>1357</v>
      </c>
      <c r="D4" s="26" t="n">
        <f aca="false">C7</f>
        <v>991.6</v>
      </c>
      <c r="E4" s="26" t="n">
        <f aca="false">D7</f>
        <v>2903.8</v>
      </c>
      <c r="F4" s="26" t="n">
        <f aca="false">E7</f>
        <v>7093.6</v>
      </c>
      <c r="G4" s="26" t="n">
        <f aca="false">F7</f>
        <v>13561</v>
      </c>
      <c r="H4" s="26" t="n">
        <f aca="false">G7</f>
        <v>22306</v>
      </c>
      <c r="I4" s="26" t="n">
        <f aca="false">H7</f>
        <v>31051</v>
      </c>
      <c r="J4" s="26" t="n">
        <f aca="false">I7</f>
        <v>39796</v>
      </c>
      <c r="K4" s="26" t="n">
        <f aca="false">J7</f>
        <v>48541</v>
      </c>
      <c r="L4" s="26" t="n">
        <f aca="false">K7</f>
        <v>57286</v>
      </c>
      <c r="M4" s="26" t="n">
        <f aca="false">L7</f>
        <v>66031</v>
      </c>
      <c r="N4" s="10"/>
    </row>
    <row r="5" customFormat="false" ht="15" hidden="false" customHeight="true" outlineLevel="0" collapsed="false">
      <c r="A5" s="5" t="s">
        <v>75</v>
      </c>
      <c r="B5" s="32" t="n">
        <f aca="false">'P&amp;L Mensile'!B8</f>
        <v>3900</v>
      </c>
      <c r="C5" s="32" t="n">
        <f aca="false">'P&amp;L Mensile'!C8</f>
        <v>7020</v>
      </c>
      <c r="D5" s="32" t="n">
        <f aca="false">'P&amp;L Mensile'!D8</f>
        <v>10140</v>
      </c>
      <c r="E5" s="32" t="n">
        <f aca="false">'P&amp;L Mensile'!E8</f>
        <v>13260</v>
      </c>
      <c r="F5" s="32" t="n">
        <f aca="false">'P&amp;L Mensile'!F8</f>
        <v>16380</v>
      </c>
      <c r="G5" s="32" t="n">
        <f aca="false">'P&amp;L Mensile'!G8</f>
        <v>19500</v>
      </c>
      <c r="H5" s="32" t="n">
        <f aca="false">'P&amp;L Mensile'!H8</f>
        <v>19500</v>
      </c>
      <c r="I5" s="32" t="n">
        <f aca="false">'P&amp;L Mensile'!I8</f>
        <v>19500</v>
      </c>
      <c r="J5" s="32" t="n">
        <f aca="false">'P&amp;L Mensile'!J8</f>
        <v>19500</v>
      </c>
      <c r="K5" s="32" t="n">
        <f aca="false">'P&amp;L Mensile'!K8</f>
        <v>19500</v>
      </c>
      <c r="L5" s="32" t="n">
        <f aca="false">'P&amp;L Mensile'!L8</f>
        <v>19500</v>
      </c>
      <c r="M5" s="32" t="n">
        <f aca="false">'P&amp;L Mensile'!M8</f>
        <v>19500</v>
      </c>
      <c r="N5" s="27" t="n">
        <f aca="false">SUM(B5:M5)</f>
        <v>187200</v>
      </c>
    </row>
    <row r="6" customFormat="false" ht="15" hidden="false" customHeight="true" outlineLevel="0" collapsed="false">
      <c r="A6" s="5" t="s">
        <v>76</v>
      </c>
      <c r="B6" s="32" t="n">
        <f aca="false">'P&amp;L Mensile'!B14+'P&amp;L Mensile'!B19</f>
        <v>6543</v>
      </c>
      <c r="C6" s="32" t="n">
        <f aca="false">'P&amp;L Mensile'!C14+'P&amp;L Mensile'!C19</f>
        <v>7385.4</v>
      </c>
      <c r="D6" s="32" t="n">
        <f aca="false">'P&amp;L Mensile'!D14+'P&amp;L Mensile'!D19</f>
        <v>8227.8</v>
      </c>
      <c r="E6" s="32" t="n">
        <f aca="false">'P&amp;L Mensile'!E14+'P&amp;L Mensile'!E19</f>
        <v>9070.2</v>
      </c>
      <c r="F6" s="32" t="n">
        <f aca="false">'P&amp;L Mensile'!F14+'P&amp;L Mensile'!F19</f>
        <v>9912.6</v>
      </c>
      <c r="G6" s="32" t="n">
        <f aca="false">'P&amp;L Mensile'!G14+'P&amp;L Mensile'!G19</f>
        <v>10755</v>
      </c>
      <c r="H6" s="32" t="n">
        <f aca="false">'P&amp;L Mensile'!H14+'P&amp;L Mensile'!H19</f>
        <v>10755</v>
      </c>
      <c r="I6" s="32" t="n">
        <f aca="false">'P&amp;L Mensile'!I14+'P&amp;L Mensile'!I19</f>
        <v>10755</v>
      </c>
      <c r="J6" s="32" t="n">
        <f aca="false">'P&amp;L Mensile'!J14+'P&amp;L Mensile'!J19</f>
        <v>10755</v>
      </c>
      <c r="K6" s="32" t="n">
        <f aca="false">'P&amp;L Mensile'!K14+'P&amp;L Mensile'!K19</f>
        <v>10755</v>
      </c>
      <c r="L6" s="32" t="n">
        <f aca="false">'P&amp;L Mensile'!L14+'P&amp;L Mensile'!L19</f>
        <v>10755</v>
      </c>
      <c r="M6" s="32" t="n">
        <f aca="false">'P&amp;L Mensile'!M14+'P&amp;L Mensile'!M19</f>
        <v>10755</v>
      </c>
      <c r="N6" s="27" t="n">
        <f aca="false">SUM(B6:M6)</f>
        <v>116424</v>
      </c>
    </row>
    <row r="7" customFormat="false" ht="15" hidden="false" customHeight="true" outlineLevel="0" collapsed="false">
      <c r="A7" s="12"/>
      <c r="B7" s="30" t="n">
        <f aca="false">B4+B5-B6</f>
        <v>1357</v>
      </c>
      <c r="C7" s="30" t="n">
        <f aca="false">C4+C5-C6</f>
        <v>991.6</v>
      </c>
      <c r="D7" s="30" t="n">
        <f aca="false">D4+D5-D6</f>
        <v>2903.8</v>
      </c>
      <c r="E7" s="30" t="n">
        <f aca="false">E4+E5-E6</f>
        <v>7093.6</v>
      </c>
      <c r="F7" s="30" t="n">
        <f aca="false">F4+F5-F6</f>
        <v>13561</v>
      </c>
      <c r="G7" s="30" t="n">
        <f aca="false">G4+G5-G6</f>
        <v>22306</v>
      </c>
      <c r="H7" s="30" t="n">
        <f aca="false">H4+H5-H6</f>
        <v>31051</v>
      </c>
      <c r="I7" s="30" t="n">
        <f aca="false">I4+I5-I6</f>
        <v>39796</v>
      </c>
      <c r="J7" s="30" t="n">
        <f aca="false">J4+J5-J6</f>
        <v>48541</v>
      </c>
      <c r="K7" s="30" t="n">
        <f aca="false">K4+K5-K6</f>
        <v>57286</v>
      </c>
      <c r="L7" s="30" t="n">
        <f aca="false">L4+L5-L6</f>
        <v>66031</v>
      </c>
      <c r="M7" s="30" t="n">
        <f aca="false">M4+M5-M6</f>
        <v>74776</v>
      </c>
      <c r="N7" s="24" t="n">
        <f aca="false">M7</f>
        <v>74776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27.75" hidden="false" customHeight="true" outlineLevel="0" collapsed="false">
      <c r="A1" s="14" t="s">
        <v>77</v>
      </c>
      <c r="B1" s="14"/>
      <c r="C1" s="14"/>
    </row>
    <row r="3" customFormat="false" ht="19.5" hidden="false" customHeight="true" outlineLevel="0" collapsed="false">
      <c r="A3" s="12" t="s">
        <v>78</v>
      </c>
      <c r="B3" s="33" t="n">
        <f aca="false">Ipotesi!B20+Ipotesi!B30</f>
        <v>4090</v>
      </c>
    </row>
    <row r="4" customFormat="false" ht="19.5" hidden="false" customHeight="true" outlineLevel="0" collapsed="false">
      <c r="A4" s="5" t="s">
        <v>79</v>
      </c>
      <c r="B4" s="27" t="n">
        <f aca="false">Ipotesi!B5</f>
        <v>15</v>
      </c>
    </row>
    <row r="5" customFormat="false" ht="19.5" hidden="false" customHeight="true" outlineLevel="0" collapsed="false">
      <c r="A5" s="5" t="s">
        <v>80</v>
      </c>
      <c r="B5" s="27" t="n">
        <f aca="false">Ipotesi!B5*Ipotesi!B23</f>
        <v>4.05</v>
      </c>
    </row>
    <row r="6" customFormat="false" ht="19.5" hidden="false" customHeight="true" outlineLevel="0" collapsed="false">
      <c r="A6" s="5" t="s">
        <v>81</v>
      </c>
      <c r="B6" s="27" t="n">
        <f aca="false">Ipotesi!B24/Ipotesi!B8</f>
        <v>1.92307692307692</v>
      </c>
    </row>
    <row r="7" customFormat="false" ht="19.5" hidden="false" customHeight="true" outlineLevel="0" collapsed="false">
      <c r="A7" s="12" t="s">
        <v>82</v>
      </c>
      <c r="B7" s="34" t="n">
        <f aca="false">B4-B5-B6</f>
        <v>9.02692307692308</v>
      </c>
    </row>
    <row r="8" customFormat="false" ht="19.5" hidden="false" customHeight="true" outlineLevel="0" collapsed="false">
      <c r="A8" s="5" t="s">
        <v>83</v>
      </c>
      <c r="B8" s="35" t="n">
        <f aca="false">B7/B4</f>
        <v>0.601794871794872</v>
      </c>
    </row>
    <row r="9" customFormat="false" ht="15" hidden="false" customHeight="true" outlineLevel="0" collapsed="false">
      <c r="A9" s="10"/>
      <c r="B9" s="10"/>
    </row>
    <row r="10" customFormat="false" ht="19.5" hidden="false" customHeight="true" outlineLevel="0" collapsed="false">
      <c r="A10" s="12" t="s">
        <v>84</v>
      </c>
      <c r="B10" s="36" t="n">
        <f aca="false">ROUNDUP(B3/B7,0)</f>
        <v>454</v>
      </c>
    </row>
    <row r="11" customFormat="false" ht="19.5" hidden="false" customHeight="true" outlineLevel="0" collapsed="false">
      <c r="A11" s="12" t="s">
        <v>85</v>
      </c>
      <c r="B11" s="36" t="n">
        <f aca="false">ROUNDUP(B10/Ipotesi!$B$8,0)</f>
        <v>18</v>
      </c>
    </row>
    <row r="12" customFormat="false" ht="19.5" hidden="false" customHeight="true" outlineLevel="0" collapsed="false">
      <c r="A12" s="12" t="s">
        <v>86</v>
      </c>
      <c r="B12" s="33" t="n">
        <f aca="false">B10*B4</f>
        <v>6810</v>
      </c>
    </row>
    <row r="13" customFormat="false" ht="15" hidden="false" customHeight="true" outlineLevel="0" collapsed="false">
      <c r="A13" s="10"/>
      <c r="B13" s="10"/>
    </row>
    <row r="14" customFormat="false" ht="19.5" hidden="false" customHeight="true" outlineLevel="0" collapsed="false">
      <c r="A14" s="5" t="s">
        <v>87</v>
      </c>
      <c r="B14" s="22" t="n">
        <f aca="false">Ipotesi!B7</f>
        <v>50</v>
      </c>
    </row>
    <row r="15" customFormat="false" ht="19.5" hidden="false" customHeight="true" outlineLevel="0" collapsed="false">
      <c r="A15" s="5" t="s">
        <v>88</v>
      </c>
      <c r="B15" s="37" t="n">
        <f aca="false">B14*Ipotesi!B8*B4</f>
        <v>19500</v>
      </c>
    </row>
    <row r="16" customFormat="false" ht="19.5" hidden="false" customHeight="true" outlineLevel="0" collapsed="false">
      <c r="A16" s="12" t="s">
        <v>89</v>
      </c>
      <c r="B16" s="33" t="n">
        <f aca="false">B15*(1-Ipotesi!B23)-Ipotesi!B24*Ipotesi!B8-Ipotesi!B25-Ipotesi!B20-Ipotesi!B30</f>
        <v>8745</v>
      </c>
    </row>
    <row r="17" customFormat="false" ht="15" hidden="false" customHeight="true" outlineLevel="0" collapsed="false">
      <c r="A17" s="10"/>
      <c r="B17" s="10"/>
    </row>
    <row r="18" customFormat="false" ht="19.5" hidden="false" customHeight="true" outlineLevel="0" collapsed="false">
      <c r="A18" s="12" t="s">
        <v>90</v>
      </c>
      <c r="B18" s="8" t="n">
        <v>4</v>
      </c>
    </row>
    <row r="19" customFormat="false" ht="19.5" hidden="false" customHeight="true" outlineLevel="0" collapsed="false">
      <c r="A19" s="12" t="s">
        <v>91</v>
      </c>
      <c r="B19" s="38" t="n">
        <f aca="false">'P&amp;L Mensile'!N21/Ipotesi!B33</f>
        <v>1.5728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8" min="7" style="1" width="14"/>
  </cols>
  <sheetData>
    <row r="1" customFormat="false" ht="27.75" hidden="false" customHeight="true" outlineLevel="0" collapsed="false">
      <c r="A1" s="14" t="s">
        <v>92</v>
      </c>
      <c r="B1" s="14"/>
      <c r="C1" s="14"/>
      <c r="D1" s="14"/>
      <c r="E1" s="14"/>
      <c r="F1" s="14"/>
      <c r="G1" s="14"/>
      <c r="H1" s="14"/>
    </row>
    <row r="2" customFormat="false" ht="21.75" hidden="false" customHeight="true" outlineLevel="0" collapsed="false">
      <c r="A2" s="16" t="s">
        <v>93</v>
      </c>
      <c r="B2" s="16" t="s">
        <v>94</v>
      </c>
      <c r="C2" s="16" t="s">
        <v>95</v>
      </c>
      <c r="D2" s="16" t="s">
        <v>96</v>
      </c>
      <c r="E2" s="16" t="s">
        <v>97</v>
      </c>
      <c r="F2" s="16" t="s">
        <v>98</v>
      </c>
      <c r="G2" s="16" t="s">
        <v>99</v>
      </c>
      <c r="H2" s="16" t="s">
        <v>100</v>
      </c>
    </row>
    <row r="3" customFormat="false" ht="18" hidden="false" customHeight="true" outlineLevel="0" collapsed="false">
      <c r="A3" s="39" t="s">
        <v>101</v>
      </c>
      <c r="B3" s="40" t="s">
        <v>102</v>
      </c>
      <c r="C3" s="40" t="s">
        <v>103</v>
      </c>
      <c r="D3" s="41" t="n">
        <v>13</v>
      </c>
      <c r="E3" s="42" t="n">
        <v>0.38</v>
      </c>
      <c r="F3" s="43" t="n">
        <f aca="false">D3*(1-E3)</f>
        <v>8.06</v>
      </c>
      <c r="G3" s="39" t="s">
        <v>104</v>
      </c>
      <c r="H3" s="39" t="s">
        <v>105</v>
      </c>
    </row>
    <row r="4" customFormat="false" ht="18" hidden="false" customHeight="true" outlineLevel="0" collapsed="false">
      <c r="A4" s="44" t="s">
        <v>106</v>
      </c>
      <c r="B4" s="45" t="s">
        <v>107</v>
      </c>
      <c r="C4" s="45" t="s">
        <v>108</v>
      </c>
      <c r="D4" s="46" t="n">
        <v>9</v>
      </c>
      <c r="E4" s="47" t="n">
        <v>0.33</v>
      </c>
      <c r="F4" s="48" t="n">
        <f aca="false">D4*(1-E4)</f>
        <v>6.03</v>
      </c>
      <c r="G4" s="44" t="s">
        <v>109</v>
      </c>
      <c r="H4" s="44" t="s">
        <v>105</v>
      </c>
    </row>
    <row r="5" customFormat="false" ht="18" hidden="false" customHeight="true" outlineLevel="0" collapsed="false">
      <c r="A5" s="39" t="s">
        <v>110</v>
      </c>
      <c r="B5" s="40" t="s">
        <v>111</v>
      </c>
      <c r="C5" s="40" t="s">
        <v>108</v>
      </c>
      <c r="D5" s="41" t="n">
        <v>8</v>
      </c>
      <c r="E5" s="42" t="n">
        <v>0.3</v>
      </c>
      <c r="F5" s="43" t="n">
        <f aca="false">D5*(1-E5)</f>
        <v>5.6</v>
      </c>
      <c r="G5" s="39" t="s">
        <v>109</v>
      </c>
      <c r="H5" s="39" t="s">
        <v>105</v>
      </c>
    </row>
    <row r="6" customFormat="false" ht="18" hidden="false" customHeight="true" outlineLevel="0" collapsed="false">
      <c r="A6" s="44" t="s">
        <v>112</v>
      </c>
      <c r="B6" s="45" t="s">
        <v>113</v>
      </c>
      <c r="C6" s="45" t="s">
        <v>114</v>
      </c>
      <c r="D6" s="46" t="n">
        <v>7.5</v>
      </c>
      <c r="E6" s="47" t="n">
        <v>0.22</v>
      </c>
      <c r="F6" s="48" t="n">
        <f aca="false">D6*(1-E6)</f>
        <v>5.85</v>
      </c>
      <c r="G6" s="44" t="s">
        <v>104</v>
      </c>
      <c r="H6" s="44" t="s">
        <v>105</v>
      </c>
    </row>
    <row r="7" customFormat="false" ht="18" hidden="false" customHeight="true" outlineLevel="0" collapsed="false">
      <c r="A7" s="39" t="s">
        <v>115</v>
      </c>
      <c r="B7" s="40" t="s">
        <v>116</v>
      </c>
      <c r="C7" s="40" t="s">
        <v>117</v>
      </c>
      <c r="D7" s="41" t="n">
        <v>7</v>
      </c>
      <c r="E7" s="42" t="n">
        <v>0.28</v>
      </c>
      <c r="F7" s="43" t="n">
        <f aca="false">D7*(1-E7)</f>
        <v>5.04</v>
      </c>
      <c r="G7" s="39" t="s">
        <v>109</v>
      </c>
      <c r="H7" s="39"/>
    </row>
    <row r="8" customFormat="false" ht="18" hidden="false" customHeight="true" outlineLevel="0" collapsed="false">
      <c r="A8" s="44" t="s">
        <v>118</v>
      </c>
      <c r="B8" s="45" t="s">
        <v>119</v>
      </c>
      <c r="C8" s="45" t="s">
        <v>108</v>
      </c>
      <c r="D8" s="46" t="n">
        <v>7</v>
      </c>
      <c r="E8" s="47" t="n">
        <v>0.27</v>
      </c>
      <c r="F8" s="48" t="n">
        <f aca="false">D8*(1-E8)</f>
        <v>5.11</v>
      </c>
      <c r="G8" s="44" t="s">
        <v>120</v>
      </c>
      <c r="H8" s="44"/>
    </row>
    <row r="9" customFormat="false" ht="18" hidden="false" customHeight="true" outlineLevel="0" collapsed="false">
      <c r="A9" s="39" t="s">
        <v>121</v>
      </c>
      <c r="B9" s="40" t="s">
        <v>122</v>
      </c>
      <c r="C9" s="40" t="s">
        <v>123</v>
      </c>
      <c r="D9" s="41" t="n">
        <v>6.5</v>
      </c>
      <c r="E9" s="42" t="n">
        <v>0.24</v>
      </c>
      <c r="F9" s="43" t="n">
        <f aca="false">D9*(1-E9)</f>
        <v>4.94</v>
      </c>
      <c r="G9" s="39" t="s">
        <v>109</v>
      </c>
      <c r="H9" s="39" t="s">
        <v>124</v>
      </c>
    </row>
    <row r="10" customFormat="false" ht="18" hidden="false" customHeight="true" outlineLevel="0" collapsed="false">
      <c r="A10" s="44" t="s">
        <v>125</v>
      </c>
      <c r="B10" s="45" t="s">
        <v>126</v>
      </c>
      <c r="C10" s="45" t="s">
        <v>117</v>
      </c>
      <c r="D10" s="46" t="n">
        <v>6.5</v>
      </c>
      <c r="E10" s="47" t="n">
        <v>0.25</v>
      </c>
      <c r="F10" s="48" t="n">
        <f aca="false">D10*(1-E10)</f>
        <v>4.875</v>
      </c>
      <c r="G10" s="44" t="s">
        <v>120</v>
      </c>
      <c r="H10" s="44"/>
    </row>
    <row r="11" customFormat="false" ht="18" hidden="false" customHeight="true" outlineLevel="0" collapsed="false">
      <c r="A11" s="39" t="s">
        <v>127</v>
      </c>
      <c r="B11" s="40" t="s">
        <v>128</v>
      </c>
      <c r="C11" s="40" t="s">
        <v>123</v>
      </c>
      <c r="D11" s="41" t="n">
        <v>6</v>
      </c>
      <c r="E11" s="42" t="n">
        <v>0.21</v>
      </c>
      <c r="F11" s="43" t="n">
        <f aca="false">D11*(1-E11)</f>
        <v>4.74</v>
      </c>
      <c r="G11" s="39" t="s">
        <v>120</v>
      </c>
      <c r="H11" s="39" t="s">
        <v>129</v>
      </c>
    </row>
    <row r="12" customFormat="false" ht="18" hidden="false" customHeight="true" outlineLevel="0" collapsed="false">
      <c r="A12" s="44" t="s">
        <v>130</v>
      </c>
      <c r="B12" s="45" t="s">
        <v>131</v>
      </c>
      <c r="C12" s="45" t="s">
        <v>123</v>
      </c>
      <c r="D12" s="46" t="n">
        <v>5.5</v>
      </c>
      <c r="E12" s="47" t="n">
        <v>0.19</v>
      </c>
      <c r="F12" s="48" t="n">
        <f aca="false">D12*(1-E12)</f>
        <v>4.455</v>
      </c>
      <c r="G12" s="44" t="s">
        <v>120</v>
      </c>
      <c r="H12" s="44" t="s">
        <v>124</v>
      </c>
    </row>
    <row r="13" customFormat="false" ht="18" hidden="false" customHeight="true" outlineLevel="0" collapsed="false">
      <c r="A13" s="39" t="s">
        <v>132</v>
      </c>
      <c r="B13" s="40" t="s">
        <v>133</v>
      </c>
      <c r="C13" s="40" t="s">
        <v>134</v>
      </c>
      <c r="D13" s="41" t="n">
        <v>3.5</v>
      </c>
      <c r="E13" s="42" t="n">
        <v>0.14</v>
      </c>
      <c r="F13" s="43" t="n">
        <f aca="false">D13*(1-E13)</f>
        <v>3.01</v>
      </c>
      <c r="G13" s="39" t="s">
        <v>135</v>
      </c>
      <c r="H13" s="39" t="s">
        <v>124</v>
      </c>
    </row>
    <row r="14" customFormat="false" ht="18" hidden="false" customHeight="true" outlineLevel="0" collapsed="false">
      <c r="A14" s="44" t="s">
        <v>136</v>
      </c>
      <c r="B14" s="45" t="s">
        <v>137</v>
      </c>
      <c r="C14" s="45" t="s">
        <v>138</v>
      </c>
      <c r="D14" s="46" t="n">
        <v>3</v>
      </c>
      <c r="E14" s="47" t="n">
        <v>0.16</v>
      </c>
      <c r="F14" s="48" t="n">
        <f aca="false">D14*(1-E14)</f>
        <v>2.52</v>
      </c>
      <c r="G14" s="44" t="s">
        <v>120</v>
      </c>
      <c r="H14" s="44"/>
    </row>
    <row r="15" customFormat="false" ht="15" hidden="false" customHeight="true" outlineLevel="0" collapsed="false">
      <c r="A15" s="49"/>
      <c r="B15" s="12" t="s">
        <v>139</v>
      </c>
      <c r="C15" s="10"/>
      <c r="D15" s="50" t="n">
        <f aca="false">AVERAGE(D3:D14)</f>
        <v>6.875</v>
      </c>
      <c r="E15" s="51" t="n">
        <f aca="false">AVERAGE(E3:E14)</f>
        <v>0.2475</v>
      </c>
      <c r="F15" s="50" t="n">
        <f aca="false">AVERAGE(F3:F14)</f>
        <v>5.01916666666667</v>
      </c>
      <c r="G15" s="10"/>
      <c r="H15" s="10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2026-06-18T05:54:28Z</dcterms:created>
  <dc:creator>openpyxl</dc:creator>
  <dc:description/>
  <dc:language>en-US</dc:language>
  <cp:lastModifiedBy/>
  <dcterms:modified xsi:type="dcterms:W3CDTF">2026-06-18T05:54:49Z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